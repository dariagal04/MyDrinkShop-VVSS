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B294DEC7-1ECA-4FDD-8143-7204512E62AE}" xr6:coauthVersionLast="47" xr6:coauthVersionMax="47" xr10:uidLastSave="{00000000-0000-0000-0000-000000000000}"/>
  <bookViews>
    <workbookView xWindow="1536" yWindow="1536" windowWidth="17280" windowHeight="9960" firstSheet="1" activeTab="2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9" i="10" l="1"/>
  <c r="N16" i="4"/>
  <c r="B16" i="4"/>
</calcChain>
</file>

<file path=xl/sharedStrings.xml><?xml version="1.0" encoding="utf-8"?>
<sst xmlns="http://schemas.openxmlformats.org/spreadsheetml/2006/main" count="212" uniqueCount="126">
  <si>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</si>
  <si>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</si>
  <si>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</si>
  <si>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</si>
  <si>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</si>
  <si>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</si>
  <si>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</si>
  <si>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</si>
  <si>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</si>
  <si>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</si>
  <si>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</si>
  <si>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</si>
  <si>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</si>
  <si>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</si>
  <si>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</si>
  <si>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</si>
  <si>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</si>
  <si>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</si>
  <si>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</si>
  <si>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</si>
  <si>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</si>
  <si>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</si>
  <si>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</si>
  <si>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</si>
  <si>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</si>
  <si>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</si>
  <si>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</si>
  <si>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</si>
  <si>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</si>
  <si>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</si>
  <si>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</si>
  <si>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</si>
  <si>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</si>
  <si>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</si>
  <si>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</si>
  <si>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</si>
  <si>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</si>
  <si>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</si>
  <si>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</si>
  <si>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</si>
  <si>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</si>
  <si>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</si>
  <si>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</si>
  <si>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</si>
  <si>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</si>
  <si>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</si>
  <si>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</si>
  <si>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</si>
  <si>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</si>
  <si>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</si>
  <si>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</si>
  <si>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</si>
  <si>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</si>
  <si>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</si>
  <si>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</si>
  <si>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</si>
  <si>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</si>
  <si>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</si>
  <si>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</si>
  <si>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</si>
  <si>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</si>
  <si>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</si>
  <si>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</si>
  <si>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</si>
  <si>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</si>
  <si>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</si>
  <si>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</si>
  <si>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</si>
  <si>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</si>
  <si>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</si>
  <si>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</si>
  <si>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</si>
  <si>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</si>
  <si>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</si>
  <si>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</si>
  <si>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</si>
  <si>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Găvriluț Maria</t>
  </si>
  <si>
    <t>Gal Daria</t>
  </si>
  <si>
    <t>Cărbune Ecaterina</t>
  </si>
  <si>
    <t>1. Realizarea unei rețete si consumarea ingredientelor in preparare</t>
  </si>
  <si>
    <t>O aplicatie de gestiune a unui magazin de bauturi. Avem:</t>
  </si>
  <si>
    <t>F02. realizarea unei retete prin consumarea ingredientelor( reteta )</t>
  </si>
  <si>
    <t>F02_P04</t>
  </si>
  <si>
    <t>F02_P05</t>
  </si>
  <si>
    <t>F02_P06</t>
  </si>
  <si>
    <t xml:space="preserve"> </t>
  </si>
  <si>
    <t>!areSuficient(reteta)</t>
  </si>
  <si>
    <t>Reteta</t>
  </si>
  <si>
    <t>err</t>
  </si>
  <si>
    <t>x</t>
  </si>
  <si>
    <t>1T-&gt;2-&gt;9</t>
  </si>
  <si>
    <t>1F-&gt;3T-&gt;4-&gt;9</t>
  </si>
  <si>
    <t>1F-&gt;3F-&gt;5T-&gt;6-&gt;9</t>
  </si>
  <si>
    <t>1F-&gt;3F-&gt;5F-&gt;7F-&gt;9</t>
  </si>
  <si>
    <t>1F-&gt;3F-&gt;5F-&gt;7T-&gt;8-&gt;7F-&gt;9</t>
  </si>
  <si>
    <t>null</t>
  </si>
  <si>
    <t>1,2,9</t>
  </si>
  <si>
    <t>reteta==null</t>
  </si>
  <si>
    <t>Reteta(1,[])</t>
  </si>
  <si>
    <t>reteta.getIngrediente().isEmpty()</t>
  </si>
  <si>
    <t>e.hasNext()</t>
  </si>
  <si>
    <t>1,3,4,9</t>
  </si>
  <si>
    <t>errr</t>
  </si>
  <si>
    <t>1,3,5,6,9</t>
  </si>
  <si>
    <t>presupunem ca nu avem destul stoc pt reteta</t>
  </si>
  <si>
    <t>Reteta(2,[apa,sare])</t>
  </si>
  <si>
    <t>IMPOSIBIL</t>
  </si>
  <si>
    <t>stoc actualizat</t>
  </si>
  <si>
    <t>1,3,5,7,8,9</t>
  </si>
  <si>
    <t>Reteta(3,[lapte])</t>
  </si>
  <si>
    <t>Reteta(4,[lapte,banane])</t>
  </si>
  <si>
    <t>F02_TC03</t>
  </si>
  <si>
    <t>F02_TC04</t>
  </si>
  <si>
    <t>F02_TC05</t>
  </si>
  <si>
    <t>Stoc existent</t>
  </si>
  <si>
    <t>apa(5) , sare(3)</t>
  </si>
  <si>
    <t>apa(2), sare(1)</t>
  </si>
  <si>
    <t>lapte(3)</t>
  </si>
  <si>
    <t>lapte(10)</t>
  </si>
  <si>
    <t>IllegalArgumentException</t>
  </si>
  <si>
    <t>Stoc final lapte  = 7.0</t>
  </si>
  <si>
    <t>lapte = 8.0, Banane = 3.0</t>
  </si>
  <si>
    <t>Lista de ingrediente goala []</t>
  </si>
  <si>
    <t>lapte(2), banane(2)</t>
  </si>
  <si>
    <t>lapte(10), banane(5)</t>
  </si>
  <si>
    <t>IllegalStateException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</si>
</sst>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2" borderId="4" xfId="0" applyFont="1" applyFill="1" applyBorder="1" applyAlignment="1">
      <alignment horizontal="center"/>
    </xf>
    <xf numFmtId="0" fontId="10" fillId="2" borderId="4" xfId="0" applyFont="1" applyFill="1" applyBorder="1"/>
    <xf numFmtId="0" fontId="9" fillId="2" borderId="5" xfId="0" applyFont="1" applyFill="1" applyBorder="1"/>
    <xf numFmtId="0" fontId="0" fillId="0" borderId="0" xfId="0" applyAlignment="1">
      <alignment vertical="center"/>
    </xf>
    <xf numFmtId="0" fontId="11" fillId="0" borderId="0" xfId="0" applyFont="1"/>
    <xf numFmtId="0" fontId="12" fillId="3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3" fillId="0" borderId="8" xfId="0" applyFont="1" applyBorder="1" applyAlignment="1">
      <alignment horizontal="left" vertical="center" wrapText="1"/>
    </xf>
    <xf numFmtId="0" fontId="13" fillId="4" borderId="8" xfId="0" applyFont="1" applyFill="1" applyBorder="1" applyAlignment="1">
      <alignment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0" xfId="0" applyFont="1"/>
    <xf numFmtId="0" fontId="0" fillId="2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2" borderId="12" xfId="0" applyFill="1" applyBorder="1"/>
    <xf numFmtId="0" fontId="6" fillId="8" borderId="0" xfId="0" applyFont="1" applyFill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17" fillId="0" borderId="8" xfId="0" applyFont="1" applyBorder="1" applyAlignment="1">
      <alignment vertical="center" wrapText="1"/>
    </xf>
    <xf numFmtId="0" fontId="17" fillId="0" borderId="8" xfId="0" applyFont="1" applyBorder="1" applyAlignment="1">
      <alignment horizontal="left" vertical="center" wrapText="1"/>
    </xf>
    <xf numFmtId="9" fontId="0" fillId="7" borderId="8" xfId="0" applyNumberFormat="1" applyFill="1" applyBorder="1"/>
    <xf numFmtId="9" fontId="0" fillId="7" borderId="10" xfId="0" applyNumberFormat="1" applyFill="1" applyBorder="1"/>
    <xf numFmtId="0" fontId="6" fillId="11" borderId="30" xfId="0" applyFont="1" applyFill="1" applyBorder="1" applyAlignment="1">
      <alignment horizontal="center" vertical="center"/>
    </xf>
    <xf numFmtId="0" fontId="6" fillId="11" borderId="31" xfId="0" applyFont="1" applyFill="1" applyBorder="1" applyAlignment="1">
      <alignment horizontal="center" vertical="center"/>
    </xf>
    <xf numFmtId="0" fontId="6" fillId="11" borderId="33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10" borderId="25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/>
    </xf>
    <xf numFmtId="0" fontId="6" fillId="8" borderId="13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12" borderId="3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6" fillId="0" borderId="8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0" fontId="12" fillId="0" borderId="20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534390</xdr:colOff>
      <xdr:row>6</xdr:row>
      <xdr:rowOff>49480</xdr:rowOff>
    </xdr:from>
    <xdr:to>
      <xdr:col>12</xdr:col>
      <xdr:colOff>257299</xdr:colOff>
      <xdr:row>26</xdr:row>
      <xdr:rowOff>170885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73E178F-372E-A5CA-8CC1-66195F1F03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373" t="18531" r="13347" b="35444"/>
        <a:stretch>
          <a:fillRect/>
        </a:stretch>
      </xdr:blipFill>
      <xdr:spPr>
        <a:xfrm>
          <a:off x="534390" y="1118259"/>
          <a:ext cx="7154883" cy="36840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2</xdr:col>
      <xdr:colOff>465667</xdr:colOff>
      <xdr:row>9</xdr:row>
      <xdr:rowOff>25400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67E253B-D4B6-941E-C9AC-1A845249CA15}"/>
            </a:ext>
          </a:extLst>
        </xdr:cNvPr>
        <xdr:cNvCxnSpPr/>
      </xdr:nvCxnSpPr>
      <xdr:spPr>
        <a:xfrm flipH="1" flipV="1">
          <a:off x="0" y="1676400"/>
          <a:ext cx="1761067" cy="25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</xdr:row>
      <xdr:rowOff>0</xdr:rowOff>
    </xdr:from>
    <xdr:to>
      <xdr:col>3</xdr:col>
      <xdr:colOff>93133</xdr:colOff>
      <xdr:row>10</xdr:row>
      <xdr:rowOff>8466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D61FF6-238D-4F6B-80B1-7677154CBC68}"/>
            </a:ext>
          </a:extLst>
        </xdr:cNvPr>
        <xdr:cNvCxnSpPr/>
      </xdr:nvCxnSpPr>
      <xdr:spPr>
        <a:xfrm flipH="1" flipV="1">
          <a:off x="0" y="1862667"/>
          <a:ext cx="1998133" cy="8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8468</xdr:rowOff>
    </xdr:from>
    <xdr:to>
      <xdr:col>3</xdr:col>
      <xdr:colOff>205619</xdr:colOff>
      <xdr:row>13</xdr:row>
      <xdr:rowOff>133048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A4DB8AC-B28D-4F97-B3D4-BBC0DBFD8C4A}"/>
            </a:ext>
          </a:extLst>
        </xdr:cNvPr>
        <xdr:cNvCxnSpPr/>
      </xdr:nvCxnSpPr>
      <xdr:spPr>
        <a:xfrm flipH="1" flipV="1">
          <a:off x="0" y="2367039"/>
          <a:ext cx="2104571" cy="1245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</xdr:row>
      <xdr:rowOff>33869</xdr:rowOff>
    </xdr:from>
    <xdr:to>
      <xdr:col>3</xdr:col>
      <xdr:colOff>338667</xdr:colOff>
      <xdr:row>14</xdr:row>
      <xdr:rowOff>157238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C523179-A929-4694-96C6-EF48AABA5D4F}"/>
            </a:ext>
          </a:extLst>
        </xdr:cNvPr>
        <xdr:cNvCxnSpPr/>
      </xdr:nvCxnSpPr>
      <xdr:spPr>
        <a:xfrm flipH="1" flipV="1">
          <a:off x="0" y="2573869"/>
          <a:ext cx="2237619" cy="1233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33868</xdr:rowOff>
    </xdr:from>
    <xdr:to>
      <xdr:col>3</xdr:col>
      <xdr:colOff>59267</xdr:colOff>
      <xdr:row>18</xdr:row>
      <xdr:rowOff>50800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1747492-9EFF-4D63-ADB0-F20B18F48224}"/>
            </a:ext>
          </a:extLst>
        </xdr:cNvPr>
        <xdr:cNvCxnSpPr/>
      </xdr:nvCxnSpPr>
      <xdr:spPr>
        <a:xfrm flipH="1" flipV="1">
          <a:off x="0" y="3386668"/>
          <a:ext cx="1964267" cy="169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</xdr:row>
      <xdr:rowOff>19792</xdr:rowOff>
    </xdr:from>
    <xdr:to>
      <xdr:col>3</xdr:col>
      <xdr:colOff>108857</xdr:colOff>
      <xdr:row>19</xdr:row>
      <xdr:rowOff>79168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D01F1B7-CBE1-4C96-AA05-1F46EC0E605B}"/>
            </a:ext>
          </a:extLst>
        </xdr:cNvPr>
        <xdr:cNvCxnSpPr/>
      </xdr:nvCxnSpPr>
      <xdr:spPr>
        <a:xfrm flipH="1">
          <a:off x="0" y="3404260"/>
          <a:ext cx="2018805" cy="593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36285</xdr:colOff>
      <xdr:row>22</xdr:row>
      <xdr:rowOff>138546</xdr:rowOff>
    </xdr:from>
    <xdr:to>
      <xdr:col>3</xdr:col>
      <xdr:colOff>108857</xdr:colOff>
      <xdr:row>22</xdr:row>
      <xdr:rowOff>169333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31DAFC47-8003-4CEA-9C15-15DCA53DC769}"/>
            </a:ext>
          </a:extLst>
        </xdr:cNvPr>
        <xdr:cNvCxnSpPr/>
      </xdr:nvCxnSpPr>
      <xdr:spPr>
        <a:xfrm flipH="1">
          <a:off x="36285" y="4057403"/>
          <a:ext cx="1982520" cy="307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120952</xdr:colOff>
      <xdr:row>25</xdr:row>
      <xdr:rowOff>168234</xdr:rowOff>
    </xdr:from>
    <xdr:to>
      <xdr:col>3</xdr:col>
      <xdr:colOff>89065</xdr:colOff>
      <xdr:row>26</xdr:row>
      <xdr:rowOff>36286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42BA50E-6DDB-4B56-940A-E737846EC92A}"/>
            </a:ext>
          </a:extLst>
        </xdr:cNvPr>
        <xdr:cNvCxnSpPr/>
      </xdr:nvCxnSpPr>
      <xdr:spPr>
        <a:xfrm flipH="1">
          <a:off x="120952" y="4621481"/>
          <a:ext cx="1878061" cy="461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280287</xdr:colOff>
      <xdr:row>8</xdr:row>
      <xdr:rowOff>39581</xdr:rowOff>
    </xdr:from>
    <xdr:to>
      <xdr:col>21</xdr:col>
      <xdr:colOff>168236</xdr:colOff>
      <xdr:row>29</xdr:row>
      <xdr:rowOff>19792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A8CE81F-2EDE-F077-8170-853161C6D4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09" t="17517" r="12491" b="8912"/>
        <a:stretch>
          <a:fillRect/>
        </a:stretch>
      </xdr:blipFill>
      <xdr:spPr>
        <a:xfrm rot="16200000">
          <a:off x="8863559" y="926880"/>
          <a:ext cx="3720938" cy="479641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162297</xdr:rowOff>
    </xdr:from>
    <xdr:to>
      <xdr:col>3</xdr:col>
      <xdr:colOff>72572</xdr:colOff>
      <xdr:row>24</xdr:row>
      <xdr:rowOff>14954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5F79ED13-6700-4D7B-97D5-B08D9C05A246}"/>
            </a:ext>
          </a:extLst>
        </xdr:cNvPr>
        <xdr:cNvCxnSpPr/>
      </xdr:nvCxnSpPr>
      <xdr:spPr>
        <a:xfrm flipH="1">
          <a:off x="0" y="4259284"/>
          <a:ext cx="1982520" cy="307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B11" sqref="B11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10"/>
      <c r="D1" s="63" t="s">
        <v>0</v>
      </c>
      <c r="E1" s="64"/>
      <c r="F1" s="64"/>
      <c r="G1" s="65"/>
    </row>
    <row r="2" spans="2:16" x14ac:dyDescent="0.3">
      <c r="B2" s="34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31" t="s">
        <v>5</v>
      </c>
      <c r="O5" s="31"/>
      <c r="P5" s="31"/>
    </row>
    <row r="6" spans="2:16" x14ac:dyDescent="0.3">
      <c r="B6" s="1" t="s">
        <v>6</v>
      </c>
      <c r="N6" s="24"/>
      <c r="O6" s="24" t="s">
        <v>7</v>
      </c>
      <c r="P6" s="24" t="s">
        <v>8</v>
      </c>
    </row>
    <row r="7" spans="2:16" x14ac:dyDescent="0.3">
      <c r="B7" s="1"/>
      <c r="C7" s="1"/>
      <c r="D7" s="1"/>
      <c r="E7" s="1"/>
      <c r="N7" s="24" t="s">
        <v>9</v>
      </c>
      <c r="O7" s="24" t="s">
        <v>76</v>
      </c>
      <c r="P7" s="24">
        <v>233</v>
      </c>
    </row>
    <row r="8" spans="2:16" x14ac:dyDescent="0.3">
      <c r="B8" s="1"/>
      <c r="C8" s="1"/>
      <c r="D8" s="1"/>
      <c r="E8" s="1"/>
      <c r="N8" s="24" t="s">
        <v>10</v>
      </c>
      <c r="O8" s="24" t="s">
        <v>77</v>
      </c>
      <c r="P8" s="24">
        <v>233</v>
      </c>
    </row>
    <row r="9" spans="2:16" x14ac:dyDescent="0.3">
      <c r="B9" t="s">
        <v>79</v>
      </c>
      <c r="C9" s="1"/>
      <c r="D9" s="1"/>
      <c r="E9" s="1"/>
      <c r="N9" s="24" t="s">
        <v>11</v>
      </c>
      <c r="O9" s="24" t="s">
        <v>78</v>
      </c>
      <c r="P9" s="24">
        <v>232</v>
      </c>
    </row>
    <row r="10" spans="2:16" x14ac:dyDescent="0.3">
      <c r="B10" t="s">
        <v>80</v>
      </c>
      <c r="C10" s="1"/>
      <c r="D10" s="1"/>
      <c r="E10" s="1"/>
    </row>
    <row r="11" spans="2:16" x14ac:dyDescent="0.3">
      <c r="B11" s="36" t="s">
        <v>81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A1:AA27"/>
  <sheetViews>
    <sheetView zoomScale="77" zoomScaleNormal="90" workbookViewId="0">
      <selection activeCell="M32" sqref="M32"/>
    </sheetView>
  </sheetViews>
  <sheetFormatPr defaultColWidth="8.88671875" defaultRowHeight="14.4" x14ac:dyDescent="0.3"/>
  <cols>
    <col min="2" max="2" width="10" customWidth="1"/>
    <col min="23" max="23" width="10.5546875" customWidth="1"/>
    <col min="26" max="26" width="12.5546875" customWidth="1"/>
  </cols>
  <sheetData>
    <row r="1" spans="1:26" x14ac:dyDescent="0.3">
      <c r="B1" s="10"/>
      <c r="D1" s="63" t="s">
        <v>0</v>
      </c>
      <c r="E1" s="64"/>
      <c r="F1" s="64"/>
      <c r="G1" s="64"/>
      <c r="H1" s="64"/>
      <c r="I1" s="64"/>
      <c r="J1" s="64"/>
      <c r="K1" s="64"/>
      <c r="L1" s="64"/>
      <c r="M1" s="64"/>
      <c r="N1" s="64"/>
      <c r="O1" s="65"/>
    </row>
    <row r="3" spans="1:26" x14ac:dyDescent="0.3">
      <c r="B3" s="87" t="s">
        <v>81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9"/>
    </row>
    <row r="6" spans="1:26" x14ac:dyDescent="0.3">
      <c r="B6" s="63" t="s">
        <v>12</v>
      </c>
      <c r="C6" s="64"/>
      <c r="D6" s="64"/>
      <c r="E6" s="65"/>
      <c r="F6" s="27"/>
      <c r="G6" s="27"/>
      <c r="H6" s="27"/>
      <c r="I6" s="27"/>
      <c r="J6" s="27"/>
      <c r="K6" s="27"/>
      <c r="L6" s="27"/>
      <c r="M6" s="27"/>
      <c r="O6" s="63" t="s">
        <v>13</v>
      </c>
      <c r="P6" s="64"/>
      <c r="Q6" s="64"/>
      <c r="R6" s="64"/>
      <c r="S6" s="64"/>
      <c r="T6" s="64"/>
      <c r="U6" s="64"/>
      <c r="W6" s="63" t="s">
        <v>14</v>
      </c>
      <c r="X6" s="64"/>
      <c r="Y6" s="64"/>
      <c r="Z6" s="64"/>
    </row>
    <row r="8" spans="1:26" x14ac:dyDescent="0.3">
      <c r="B8" s="28" t="s">
        <v>15</v>
      </c>
      <c r="C8" s="99" t="s">
        <v>16</v>
      </c>
      <c r="D8" s="99"/>
      <c r="E8" s="99"/>
      <c r="F8" s="29"/>
      <c r="G8" s="29"/>
      <c r="H8" s="29"/>
      <c r="I8" s="29"/>
      <c r="J8" s="29"/>
      <c r="K8" s="29"/>
      <c r="L8" s="29"/>
      <c r="M8" s="29"/>
      <c r="O8" s="10" t="s">
        <v>17</v>
      </c>
      <c r="W8" s="86" t="s">
        <v>18</v>
      </c>
      <c r="X8" s="86"/>
      <c r="Y8" s="86"/>
      <c r="Z8" s="30">
        <v>5</v>
      </c>
    </row>
    <row r="9" spans="1:26" x14ac:dyDescent="0.3">
      <c r="A9" s="35">
        <v>1</v>
      </c>
      <c r="B9" s="31" t="s">
        <v>20</v>
      </c>
      <c r="C9" s="85" t="s">
        <v>19</v>
      </c>
      <c r="D9" s="85"/>
      <c r="E9" s="85"/>
      <c r="F9" s="32"/>
      <c r="G9" s="32"/>
      <c r="H9" s="32"/>
      <c r="I9" s="32"/>
      <c r="J9" s="32"/>
      <c r="K9" s="32"/>
      <c r="L9" s="32"/>
      <c r="M9" s="32"/>
      <c r="O9" s="33"/>
      <c r="W9" s="86" t="s">
        <v>21</v>
      </c>
      <c r="X9" s="86"/>
      <c r="Y9" s="86"/>
      <c r="Z9" s="30">
        <f>12-9+2</f>
        <v>5</v>
      </c>
    </row>
    <row r="10" spans="1:26" x14ac:dyDescent="0.3">
      <c r="A10" s="35">
        <v>2</v>
      </c>
      <c r="B10" s="31" t="s">
        <v>22</v>
      </c>
      <c r="C10" s="85" t="s">
        <v>19</v>
      </c>
      <c r="D10" s="85"/>
      <c r="E10" s="85"/>
      <c r="F10" s="32"/>
      <c r="G10" s="32"/>
      <c r="H10" s="32"/>
      <c r="I10" s="32"/>
      <c r="J10" s="32"/>
      <c r="K10" s="32"/>
      <c r="L10" s="32"/>
      <c r="M10" s="32"/>
      <c r="O10" s="90"/>
      <c r="P10" s="91"/>
      <c r="Q10" s="91"/>
      <c r="R10" s="91"/>
      <c r="S10" s="91"/>
      <c r="T10" s="91"/>
      <c r="U10" s="92"/>
      <c r="W10" s="86" t="s">
        <v>23</v>
      </c>
      <c r="X10" s="86" t="s">
        <v>24</v>
      </c>
      <c r="Y10" s="86"/>
      <c r="Z10" s="30">
        <v>5</v>
      </c>
    </row>
    <row r="11" spans="1:26" x14ac:dyDescent="0.3">
      <c r="A11" s="35"/>
      <c r="B11" s="31" t="s">
        <v>25</v>
      </c>
      <c r="C11" s="85" t="s">
        <v>19</v>
      </c>
      <c r="D11" s="85"/>
      <c r="E11" s="85"/>
      <c r="F11" s="32"/>
      <c r="G11" s="32"/>
      <c r="H11" s="32"/>
      <c r="I11" s="32"/>
      <c r="J11" s="32"/>
      <c r="K11" s="32"/>
      <c r="L11" s="32"/>
      <c r="M11" s="32"/>
      <c r="O11" s="93"/>
      <c r="P11" s="94"/>
      <c r="Q11" s="94"/>
      <c r="R11" s="94"/>
      <c r="S11" s="94"/>
      <c r="T11" s="94"/>
      <c r="U11" s="95"/>
    </row>
    <row r="12" spans="1:26" x14ac:dyDescent="0.3">
      <c r="A12" s="35"/>
      <c r="B12" s="31" t="s">
        <v>26</v>
      </c>
      <c r="C12" s="85" t="s">
        <v>19</v>
      </c>
      <c r="D12" s="85"/>
      <c r="E12" s="85"/>
      <c r="F12" s="32"/>
      <c r="G12" s="32"/>
      <c r="H12" s="32"/>
      <c r="I12" s="32"/>
      <c r="J12" s="32"/>
      <c r="K12" s="32"/>
      <c r="L12" s="32"/>
      <c r="M12" s="32"/>
      <c r="O12" s="93"/>
      <c r="P12" s="94"/>
      <c r="Q12" s="94"/>
      <c r="R12" s="94"/>
      <c r="S12" s="94"/>
      <c r="T12" s="94"/>
      <c r="U12" s="95"/>
    </row>
    <row r="13" spans="1:26" x14ac:dyDescent="0.3">
      <c r="A13" s="35">
        <v>3</v>
      </c>
      <c r="B13" s="31" t="s">
        <v>27</v>
      </c>
      <c r="C13" s="85" t="s">
        <v>19</v>
      </c>
      <c r="D13" s="85"/>
      <c r="E13" s="85"/>
      <c r="F13" s="32"/>
      <c r="G13" s="32"/>
      <c r="H13" s="32"/>
      <c r="I13" s="32"/>
      <c r="J13" s="32"/>
      <c r="K13" s="32"/>
      <c r="L13" s="32"/>
      <c r="M13" s="32"/>
      <c r="O13" s="93"/>
      <c r="P13" s="94"/>
      <c r="Q13" s="94"/>
      <c r="R13" s="94"/>
      <c r="S13" s="94"/>
      <c r="T13" s="94"/>
      <c r="U13" s="95"/>
      <c r="W13" s="63" t="s">
        <v>28</v>
      </c>
      <c r="X13" s="64"/>
      <c r="Y13" s="64"/>
      <c r="Z13" s="64"/>
    </row>
    <row r="14" spans="1:26" x14ac:dyDescent="0.3">
      <c r="A14" s="35">
        <v>4</v>
      </c>
      <c r="B14" s="31" t="s">
        <v>26</v>
      </c>
      <c r="C14" s="85" t="s">
        <v>19</v>
      </c>
      <c r="D14" s="85"/>
      <c r="E14" s="85"/>
      <c r="F14" s="32"/>
      <c r="G14" s="32"/>
      <c r="H14" s="32"/>
      <c r="I14" s="32"/>
      <c r="J14" s="32"/>
      <c r="K14" s="32"/>
      <c r="L14" s="32"/>
      <c r="M14" s="32"/>
      <c r="O14" s="93"/>
      <c r="P14" s="94"/>
      <c r="Q14" s="94"/>
      <c r="R14" s="94"/>
      <c r="S14" s="94"/>
      <c r="T14" s="94"/>
      <c r="U14" s="95"/>
    </row>
    <row r="15" spans="1:26" x14ac:dyDescent="0.3">
      <c r="A15" s="35"/>
      <c r="O15" s="93"/>
      <c r="P15" s="94"/>
      <c r="Q15" s="94"/>
      <c r="R15" s="94"/>
      <c r="S15" s="94"/>
      <c r="T15" s="94"/>
      <c r="U15" s="95"/>
      <c r="W15" s="28" t="s">
        <v>29</v>
      </c>
      <c r="X15" s="99" t="s">
        <v>30</v>
      </c>
      <c r="Y15" s="99"/>
      <c r="Z15" s="99"/>
    </row>
    <row r="16" spans="1:26" x14ac:dyDescent="0.3">
      <c r="A16" s="35"/>
      <c r="O16" s="93"/>
      <c r="P16" s="94"/>
      <c r="Q16" s="94"/>
      <c r="R16" s="94"/>
      <c r="S16" s="94"/>
      <c r="T16" s="94"/>
      <c r="U16" s="95"/>
      <c r="W16" s="31" t="s">
        <v>31</v>
      </c>
      <c r="X16" s="84" t="s">
        <v>90</v>
      </c>
      <c r="Y16" s="84"/>
      <c r="Z16" s="84"/>
    </row>
    <row r="17" spans="1:27" x14ac:dyDescent="0.3">
      <c r="A17" s="35"/>
      <c r="O17" s="93"/>
      <c r="P17" s="94"/>
      <c r="Q17" s="94"/>
      <c r="R17" s="94"/>
      <c r="S17" s="94"/>
      <c r="T17" s="94"/>
      <c r="U17" s="95"/>
      <c r="W17" s="31" t="s">
        <v>32</v>
      </c>
      <c r="X17" s="84" t="s">
        <v>91</v>
      </c>
      <c r="Y17" s="84"/>
      <c r="Z17" s="84"/>
    </row>
    <row r="18" spans="1:27" x14ac:dyDescent="0.3">
      <c r="A18" s="35">
        <v>5</v>
      </c>
      <c r="O18" s="93"/>
      <c r="P18" s="94"/>
      <c r="Q18" s="94"/>
      <c r="R18" s="94"/>
      <c r="S18" s="94"/>
      <c r="T18" s="94"/>
      <c r="U18" s="95"/>
      <c r="W18" s="31" t="s">
        <v>33</v>
      </c>
      <c r="X18" s="84" t="s">
        <v>92</v>
      </c>
      <c r="Y18" s="84"/>
      <c r="Z18" s="84"/>
    </row>
    <row r="19" spans="1:27" x14ac:dyDescent="0.3">
      <c r="A19" s="35">
        <v>6</v>
      </c>
      <c r="O19" s="93"/>
      <c r="P19" s="94"/>
      <c r="Q19" s="94"/>
      <c r="R19" s="94"/>
      <c r="S19" s="94"/>
      <c r="T19" s="94"/>
      <c r="U19" s="95"/>
      <c r="W19" s="31" t="s">
        <v>82</v>
      </c>
      <c r="X19" s="84" t="s">
        <v>93</v>
      </c>
      <c r="Y19" s="84"/>
      <c r="Z19" s="84"/>
      <c r="AA19" t="s">
        <v>106</v>
      </c>
    </row>
    <row r="20" spans="1:27" x14ac:dyDescent="0.3">
      <c r="A20" s="35"/>
      <c r="O20" s="93"/>
      <c r="P20" s="94"/>
      <c r="Q20" s="94"/>
      <c r="R20" s="94"/>
      <c r="S20" s="94"/>
      <c r="T20" s="94"/>
      <c r="U20" s="95"/>
      <c r="W20" s="31" t="s">
        <v>83</v>
      </c>
      <c r="X20" s="84" t="s">
        <v>94</v>
      </c>
      <c r="Y20" s="84"/>
      <c r="Z20" s="84"/>
    </row>
    <row r="21" spans="1:27" x14ac:dyDescent="0.3">
      <c r="O21" s="93"/>
      <c r="P21" s="94"/>
      <c r="Q21" s="94"/>
      <c r="R21" s="94"/>
      <c r="S21" s="94"/>
      <c r="T21" s="94"/>
      <c r="U21" s="95"/>
      <c r="W21" s="31" t="s">
        <v>84</v>
      </c>
      <c r="X21" s="84"/>
      <c r="Y21" s="84"/>
      <c r="Z21" s="84"/>
    </row>
    <row r="22" spans="1:27" x14ac:dyDescent="0.3">
      <c r="O22" s="93"/>
      <c r="P22" s="94"/>
      <c r="Q22" s="94"/>
      <c r="R22" s="94"/>
      <c r="S22" s="94"/>
      <c r="T22" s="94"/>
      <c r="U22" s="95"/>
    </row>
    <row r="23" spans="1:27" x14ac:dyDescent="0.3">
      <c r="A23" s="35">
        <v>7</v>
      </c>
      <c r="O23" s="93"/>
      <c r="P23" s="94"/>
      <c r="Q23" s="94"/>
      <c r="R23" s="94"/>
      <c r="S23" s="94"/>
      <c r="T23" s="94"/>
      <c r="U23" s="95"/>
    </row>
    <row r="24" spans="1:27" x14ac:dyDescent="0.3">
      <c r="A24" s="35">
        <v>8</v>
      </c>
      <c r="O24" s="96"/>
      <c r="P24" s="97"/>
      <c r="Q24" s="97"/>
      <c r="R24" s="97"/>
      <c r="S24" s="97"/>
      <c r="T24" s="97"/>
      <c r="U24" s="98"/>
    </row>
    <row r="25" spans="1:27" x14ac:dyDescent="0.3">
      <c r="A25" s="35"/>
    </row>
    <row r="26" spans="1:27" x14ac:dyDescent="0.3">
      <c r="A26" s="35">
        <v>9</v>
      </c>
    </row>
    <row r="27" spans="1:27" x14ac:dyDescent="0.3">
      <c r="A27" s="35"/>
    </row>
  </sheetData>
  <mergeCells count="24">
    <mergeCell ref="D1:O1"/>
    <mergeCell ref="X20:Z20"/>
    <mergeCell ref="X21:Z21"/>
    <mergeCell ref="B3:Q3"/>
    <mergeCell ref="C10:E10"/>
    <mergeCell ref="O10:U24"/>
    <mergeCell ref="W10:Y10"/>
    <mergeCell ref="C11:E11"/>
    <mergeCell ref="X15:Z15"/>
    <mergeCell ref="C8:E8"/>
    <mergeCell ref="W8:Y8"/>
    <mergeCell ref="B6:E6"/>
    <mergeCell ref="O6:U6"/>
    <mergeCell ref="W6:Z6"/>
    <mergeCell ref="X17:Z17"/>
    <mergeCell ref="X19:Z19"/>
    <mergeCell ref="X18:Z18"/>
    <mergeCell ref="C9:E9"/>
    <mergeCell ref="W9:Y9"/>
    <mergeCell ref="X16:Z16"/>
    <mergeCell ref="C12:E12"/>
    <mergeCell ref="C13:E13"/>
    <mergeCell ref="W13:Z13"/>
    <mergeCell ref="C14:E14"/>
  </mergeCells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Z20"/>
  <sheetViews>
    <sheetView tabSelected="1" topLeftCell="P1" zoomScale="67" workbookViewId="0">
      <selection activeCell="C16" sqref="C16"/>
    </sheetView>
  </sheetViews>
  <sheetFormatPr defaultColWidth="8.88671875" defaultRowHeight="14.4" x14ac:dyDescent="0.3"/>
  <cols>
    <col min="2" max="2" width="12.33203125" customWidth="1"/>
    <col min="3" max="3" width="24.21875" customWidth="1"/>
    <col min="4" max="4" width="18.109375" bestFit="1" customWidth="1"/>
    <col min="5" max="5" width="19.88671875" bestFit="1" customWidth="1"/>
    <col min="6" max="6" width="8.109375" customWidth="1"/>
    <col min="7" max="7" width="11.44140625" bestFit="1" customWidth="1"/>
    <col min="8" max="8" width="16.21875" customWidth="1"/>
    <col min="9" max="9" width="22.5546875" customWidth="1"/>
    <col min="10" max="10" width="12.44140625" customWidth="1"/>
    <col min="11" max="11" width="12.88671875" customWidth="1"/>
    <col min="12" max="12" width="9.44140625" customWidth="1"/>
    <col min="13" max="13" width="12.5546875" customWidth="1"/>
    <col min="14" max="15" width="8.88671875" customWidth="1"/>
    <col min="19" max="21" width="2.109375" bestFit="1" customWidth="1"/>
    <col min="22" max="22" width="3.5546875" bestFit="1" customWidth="1"/>
    <col min="23" max="23" width="2.109375" bestFit="1" customWidth="1"/>
    <col min="24" max="24" width="4.109375" bestFit="1" customWidth="1"/>
    <col min="25" max="25" width="5.109375" bestFit="1" customWidth="1"/>
  </cols>
  <sheetData>
    <row r="1" spans="2:26" x14ac:dyDescent="0.3">
      <c r="B1" s="10"/>
      <c r="D1" s="63" t="s">
        <v>0</v>
      </c>
      <c r="E1" s="64"/>
      <c r="F1" s="64"/>
      <c r="G1" s="65"/>
    </row>
    <row r="3" spans="2:26" x14ac:dyDescent="0.3">
      <c r="B3" s="87" t="s">
        <v>81</v>
      </c>
      <c r="C3" s="88"/>
      <c r="D3" s="88"/>
      <c r="E3" s="88"/>
      <c r="F3" s="89"/>
    </row>
    <row r="5" spans="2:26" x14ac:dyDescent="0.3">
      <c r="B5" s="9"/>
    </row>
    <row r="6" spans="2:26" ht="15.6" x14ac:dyDescent="0.3">
      <c r="B6" s="108" t="s">
        <v>34</v>
      </c>
      <c r="C6" s="108" t="s">
        <v>35</v>
      </c>
      <c r="D6" s="108" t="s">
        <v>36</v>
      </c>
      <c r="E6" s="108" t="s">
        <v>37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</row>
    <row r="7" spans="2:26" ht="15.6" x14ac:dyDescent="0.3">
      <c r="B7" s="108"/>
      <c r="C7" s="108"/>
      <c r="D7" s="108"/>
      <c r="E7" s="102" t="s">
        <v>38</v>
      </c>
      <c r="F7" s="103" t="s">
        <v>39</v>
      </c>
      <c r="G7" s="103"/>
      <c r="H7" s="103"/>
      <c r="I7" s="103"/>
      <c r="J7" s="103"/>
      <c r="K7" s="103"/>
      <c r="L7" s="103"/>
      <c r="M7" s="103"/>
      <c r="N7" s="104" t="s">
        <v>40</v>
      </c>
      <c r="O7" s="104"/>
      <c r="P7" s="104"/>
      <c r="Q7" s="104"/>
      <c r="R7" s="104"/>
      <c r="S7" s="107" t="s">
        <v>41</v>
      </c>
      <c r="T7" s="107"/>
      <c r="U7" s="107"/>
      <c r="V7" s="107"/>
      <c r="W7" s="107"/>
      <c r="X7" s="107"/>
      <c r="Y7" s="107"/>
    </row>
    <row r="8" spans="2:26" ht="15.6" customHeight="1" x14ac:dyDescent="0.3">
      <c r="B8" s="108"/>
      <c r="C8" s="100" t="s">
        <v>87</v>
      </c>
      <c r="D8" s="109"/>
      <c r="E8" s="102"/>
      <c r="F8" s="103" t="s">
        <v>97</v>
      </c>
      <c r="G8" s="103"/>
      <c r="H8" s="103" t="s">
        <v>99</v>
      </c>
      <c r="I8" s="103"/>
      <c r="J8" s="103" t="s">
        <v>86</v>
      </c>
      <c r="K8" s="103"/>
      <c r="L8" s="105" t="s">
        <v>100</v>
      </c>
      <c r="M8" s="106"/>
      <c r="N8" s="104" t="s">
        <v>31</v>
      </c>
      <c r="O8" s="104" t="s">
        <v>32</v>
      </c>
      <c r="P8" s="104" t="s">
        <v>33</v>
      </c>
      <c r="Q8" s="104" t="s">
        <v>82</v>
      </c>
      <c r="R8" s="104" t="s">
        <v>83</v>
      </c>
      <c r="S8" s="107">
        <v>0</v>
      </c>
      <c r="T8" s="107">
        <v>1</v>
      </c>
      <c r="U8" s="107">
        <v>2</v>
      </c>
      <c r="V8" s="107" t="s">
        <v>42</v>
      </c>
      <c r="W8" s="107" t="s">
        <v>43</v>
      </c>
      <c r="X8" s="107" t="s">
        <v>44</v>
      </c>
      <c r="Y8" s="107" t="s">
        <v>45</v>
      </c>
    </row>
    <row r="9" spans="2:26" ht="15.6" x14ac:dyDescent="0.3">
      <c r="B9" s="108"/>
      <c r="C9" s="101"/>
      <c r="D9" s="109"/>
      <c r="E9" s="102"/>
      <c r="F9" s="11" t="s">
        <v>46</v>
      </c>
      <c r="G9" s="11" t="s">
        <v>47</v>
      </c>
      <c r="H9" s="11" t="s">
        <v>46</v>
      </c>
      <c r="I9" s="11" t="s">
        <v>47</v>
      </c>
      <c r="J9" s="11" t="s">
        <v>46</v>
      </c>
      <c r="K9" s="11" t="s">
        <v>47</v>
      </c>
      <c r="L9" s="11" t="s">
        <v>46</v>
      </c>
      <c r="M9" s="11" t="s">
        <v>47</v>
      </c>
      <c r="N9" s="104"/>
      <c r="O9" s="104"/>
      <c r="P9" s="104"/>
      <c r="Q9" s="104"/>
      <c r="R9" s="104"/>
      <c r="S9" s="107"/>
      <c r="T9" s="107"/>
      <c r="U9" s="107"/>
      <c r="V9" s="107"/>
      <c r="W9" s="107"/>
      <c r="X9" s="107"/>
      <c r="Y9" s="107"/>
    </row>
    <row r="10" spans="2:26" ht="15.6" x14ac:dyDescent="0.3">
      <c r="B10" s="12" t="s">
        <v>48</v>
      </c>
      <c r="C10" s="12" t="s">
        <v>95</v>
      </c>
      <c r="D10" s="13" t="s">
        <v>88</v>
      </c>
      <c r="E10" s="14" t="s">
        <v>96</v>
      </c>
      <c r="F10" s="15" t="s">
        <v>89</v>
      </c>
      <c r="G10" s="15"/>
      <c r="H10" s="15"/>
      <c r="I10" s="15"/>
      <c r="J10" s="15"/>
      <c r="K10" s="15"/>
      <c r="L10" s="15"/>
      <c r="M10" s="15"/>
      <c r="N10" s="16" t="s">
        <v>89</v>
      </c>
      <c r="O10" s="16"/>
      <c r="P10" s="16"/>
      <c r="Q10" s="16"/>
      <c r="R10" s="16"/>
      <c r="S10" s="17"/>
      <c r="T10" s="17"/>
      <c r="U10" s="17"/>
      <c r="V10" s="17"/>
      <c r="W10" s="17"/>
      <c r="X10" s="17"/>
      <c r="Y10" s="17"/>
    </row>
    <row r="11" spans="2:26" ht="15.6" x14ac:dyDescent="0.3">
      <c r="B11" s="12" t="s">
        <v>58</v>
      </c>
      <c r="C11" s="12" t="s">
        <v>98</v>
      </c>
      <c r="D11" s="13" t="s">
        <v>88</v>
      </c>
      <c r="E11" s="14" t="s">
        <v>101</v>
      </c>
      <c r="F11" s="15"/>
      <c r="G11" s="15" t="s">
        <v>89</v>
      </c>
      <c r="H11" s="15" t="s">
        <v>89</v>
      </c>
      <c r="I11" s="15"/>
      <c r="J11" s="15"/>
      <c r="K11" s="15"/>
      <c r="L11" s="15"/>
      <c r="M11" s="15"/>
      <c r="N11" s="16"/>
      <c r="O11" s="16" t="s">
        <v>89</v>
      </c>
      <c r="P11" s="16"/>
      <c r="Q11" s="16"/>
      <c r="R11" s="16"/>
      <c r="S11" s="17"/>
      <c r="T11" s="17"/>
      <c r="U11" s="17"/>
      <c r="V11" s="17"/>
      <c r="W11" s="17"/>
      <c r="X11" s="17"/>
      <c r="Y11" s="17"/>
    </row>
    <row r="12" spans="2:26" ht="15.6" x14ac:dyDescent="0.3">
      <c r="B12" s="12" t="s">
        <v>111</v>
      </c>
      <c r="C12" s="37" t="s">
        <v>105</v>
      </c>
      <c r="D12" s="38" t="s">
        <v>102</v>
      </c>
      <c r="E12" s="14" t="s">
        <v>103</v>
      </c>
      <c r="F12" s="15"/>
      <c r="G12" s="15" t="s">
        <v>89</v>
      </c>
      <c r="H12" s="15"/>
      <c r="I12" s="15" t="s">
        <v>89</v>
      </c>
      <c r="J12" s="15" t="s">
        <v>89</v>
      </c>
      <c r="K12" s="15"/>
      <c r="L12" s="15"/>
      <c r="M12" s="15"/>
      <c r="N12" s="16"/>
      <c r="O12" s="16"/>
      <c r="P12" s="16" t="s">
        <v>89</v>
      </c>
      <c r="Q12" s="16"/>
      <c r="R12" s="16"/>
      <c r="S12" s="17"/>
      <c r="T12" s="17"/>
      <c r="U12" s="17"/>
      <c r="V12" s="17"/>
      <c r="W12" s="17"/>
      <c r="X12" s="17"/>
      <c r="Y12" s="17"/>
      <c r="Z12" t="s">
        <v>104</v>
      </c>
    </row>
    <row r="13" spans="2:26" ht="15.6" x14ac:dyDescent="0.3">
      <c r="B13" s="12" t="s">
        <v>112</v>
      </c>
      <c r="C13" s="12" t="s">
        <v>109</v>
      </c>
      <c r="D13" s="24" t="s">
        <v>107</v>
      </c>
      <c r="E13" s="14" t="s">
        <v>108</v>
      </c>
      <c r="F13" s="15"/>
      <c r="G13" s="15" t="s">
        <v>89</v>
      </c>
      <c r="H13" s="15"/>
      <c r="I13" s="15" t="s">
        <v>89</v>
      </c>
      <c r="J13" s="15"/>
      <c r="K13" s="15" t="s">
        <v>89</v>
      </c>
      <c r="L13" s="15" t="s">
        <v>89</v>
      </c>
      <c r="M13" s="15" t="s">
        <v>89</v>
      </c>
      <c r="N13" s="16"/>
      <c r="O13" s="16"/>
      <c r="P13" s="16"/>
      <c r="Q13" s="16"/>
      <c r="R13" s="16" t="s">
        <v>89</v>
      </c>
      <c r="S13" s="17"/>
      <c r="T13" s="17" t="s">
        <v>89</v>
      </c>
      <c r="U13" s="17"/>
      <c r="V13" s="17"/>
      <c r="W13" s="17" t="s">
        <v>89</v>
      </c>
      <c r="X13" s="17"/>
      <c r="Y13" s="17"/>
    </row>
    <row r="14" spans="2:26" ht="31.2" x14ac:dyDescent="0.3">
      <c r="B14" s="12" t="s">
        <v>113</v>
      </c>
      <c r="C14" s="12" t="s">
        <v>110</v>
      </c>
      <c r="D14" s="24" t="s">
        <v>107</v>
      </c>
      <c r="E14" s="14" t="s">
        <v>108</v>
      </c>
      <c r="F14" s="15"/>
      <c r="G14" s="15" t="s">
        <v>89</v>
      </c>
      <c r="H14" s="15"/>
      <c r="I14" s="15" t="s">
        <v>89</v>
      </c>
      <c r="J14" s="15"/>
      <c r="K14" s="15" t="s">
        <v>89</v>
      </c>
      <c r="L14" s="15" t="s">
        <v>89</v>
      </c>
      <c r="M14" s="15" t="s">
        <v>89</v>
      </c>
      <c r="N14" s="16"/>
      <c r="O14" s="16"/>
      <c r="P14" s="16"/>
      <c r="Q14" s="16"/>
      <c r="R14" s="16" t="s">
        <v>89</v>
      </c>
      <c r="S14" s="17"/>
      <c r="T14" s="17"/>
      <c r="U14" s="17" t="s">
        <v>89</v>
      </c>
      <c r="V14" s="17"/>
      <c r="W14" s="17" t="s">
        <v>89</v>
      </c>
      <c r="X14" s="17"/>
      <c r="Y14" s="17"/>
    </row>
    <row r="15" spans="2:26" ht="15.6" x14ac:dyDescent="0.3">
      <c r="B15" s="18"/>
    </row>
    <row r="20" spans="4:4" x14ac:dyDescent="0.3">
      <c r="D20" t="s">
        <v>85</v>
      </c>
    </row>
  </sheetData>
  <mergeCells count="28">
    <mergeCell ref="D1:G1"/>
    <mergeCell ref="B3:F3"/>
    <mergeCell ref="B6:B9"/>
    <mergeCell ref="C6:C7"/>
    <mergeCell ref="D6:D7"/>
    <mergeCell ref="E6:Y6"/>
    <mergeCell ref="W8:W9"/>
    <mergeCell ref="X8:X9"/>
    <mergeCell ref="D8:D9"/>
    <mergeCell ref="F8:G8"/>
    <mergeCell ref="T8:T9"/>
    <mergeCell ref="U8:U9"/>
    <mergeCell ref="V8:V9"/>
    <mergeCell ref="R8:R9"/>
    <mergeCell ref="S7:Y7"/>
    <mergeCell ref="Y8:Y9"/>
    <mergeCell ref="S8:S9"/>
    <mergeCell ref="N8:N9"/>
    <mergeCell ref="O8:O9"/>
    <mergeCell ref="P8:P9"/>
    <mergeCell ref="Q8:Q9"/>
    <mergeCell ref="C8:C9"/>
    <mergeCell ref="E7:E9"/>
    <mergeCell ref="F7:M7"/>
    <mergeCell ref="N7:R7"/>
    <mergeCell ref="H8:I8"/>
    <mergeCell ref="J8:K8"/>
    <mergeCell ref="L8:M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zoomScale="64" workbookViewId="0">
      <selection activeCell="K12" sqref="K12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58.5546875" bestFit="1" customWidth="1"/>
    <col min="6" max="6" width="60.88671875" bestFit="1" customWidth="1"/>
    <col min="7" max="7" width="10.88671875" bestFit="1" customWidth="1"/>
    <col min="8" max="8" width="10" bestFit="1" customWidth="1"/>
    <col min="10" max="10" width="7.109375" bestFit="1" customWidth="1"/>
    <col min="11" max="11" width="32.6640625" customWidth="1"/>
    <col min="12" max="12" width="58.88671875" bestFit="1" customWidth="1"/>
    <col min="13" max="13" width="16.109375" bestFit="1" customWidth="1"/>
    <col min="15" max="15" width="12.33203125" customWidth="1"/>
  </cols>
  <sheetData>
    <row r="1" spans="2:14" x14ac:dyDescent="0.3">
      <c r="B1" s="10"/>
      <c r="D1" s="63" t="s">
        <v>0</v>
      </c>
      <c r="E1" s="64"/>
      <c r="F1" s="64"/>
      <c r="G1" s="65"/>
    </row>
    <row r="3" spans="2:14" x14ac:dyDescent="0.3">
      <c r="B3" s="66" t="s">
        <v>49</v>
      </c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2:14" x14ac:dyDescent="0.3">
      <c r="B4" s="67" t="s">
        <v>50</v>
      </c>
      <c r="C4" s="58" t="s">
        <v>51</v>
      </c>
      <c r="D4" s="78" t="s">
        <v>52</v>
      </c>
      <c r="E4" s="69" t="s">
        <v>53</v>
      </c>
      <c r="F4" s="76"/>
      <c r="G4" s="76"/>
      <c r="H4" s="76"/>
      <c r="I4" s="76"/>
      <c r="J4" s="70"/>
      <c r="K4" s="73" t="s">
        <v>54</v>
      </c>
      <c r="L4" s="73"/>
    </row>
    <row r="5" spans="2:14" ht="15" thickBot="1" x14ac:dyDescent="0.35">
      <c r="B5" s="68"/>
      <c r="C5" s="77"/>
      <c r="D5" s="79"/>
      <c r="E5" s="2" t="s">
        <v>87</v>
      </c>
      <c r="F5" s="2" t="s">
        <v>114</v>
      </c>
      <c r="G5" s="2" t="s">
        <v>19</v>
      </c>
      <c r="H5" s="2" t="s">
        <v>19</v>
      </c>
      <c r="I5" s="71" t="s">
        <v>19</v>
      </c>
      <c r="J5" s="72"/>
      <c r="K5" s="19" t="s">
        <v>55</v>
      </c>
      <c r="L5" s="19" t="s">
        <v>56</v>
      </c>
    </row>
    <row r="6" spans="2:14" ht="15" thickTop="1" x14ac:dyDescent="0.3">
      <c r="B6" s="19">
        <v>9</v>
      </c>
      <c r="C6" s="74" t="s">
        <v>57</v>
      </c>
      <c r="D6" s="4" t="s">
        <v>48</v>
      </c>
      <c r="E6" s="20" t="s">
        <v>95</v>
      </c>
      <c r="F6" s="20" t="s">
        <v>19</v>
      </c>
      <c r="G6" s="20" t="s">
        <v>27</v>
      </c>
      <c r="H6" s="20" t="s">
        <v>19</v>
      </c>
      <c r="I6" s="80" t="s">
        <v>19</v>
      </c>
      <c r="J6" s="81"/>
      <c r="K6" s="19" t="s">
        <v>119</v>
      </c>
      <c r="L6" s="19" t="s">
        <v>119</v>
      </c>
    </row>
    <row r="7" spans="2:14" x14ac:dyDescent="0.3">
      <c r="B7" s="19">
        <v>10</v>
      </c>
      <c r="C7" s="74"/>
      <c r="D7" s="4" t="s">
        <v>58</v>
      </c>
      <c r="E7" s="19" t="s">
        <v>122</v>
      </c>
      <c r="F7" s="19" t="s">
        <v>19</v>
      </c>
      <c r="G7" s="19" t="s">
        <v>27</v>
      </c>
      <c r="H7" s="19" t="s">
        <v>19</v>
      </c>
      <c r="I7" s="69" t="s">
        <v>19</v>
      </c>
      <c r="J7" s="70"/>
      <c r="K7" s="19" t="s">
        <v>119</v>
      </c>
      <c r="L7" s="19" t="s">
        <v>119</v>
      </c>
    </row>
    <row r="8" spans="2:14" x14ac:dyDescent="0.3">
      <c r="B8" s="19">
        <v>11</v>
      </c>
      <c r="C8" s="74"/>
      <c r="D8" s="4" t="s">
        <v>111</v>
      </c>
      <c r="E8" s="19" t="s">
        <v>115</v>
      </c>
      <c r="F8" s="19" t="s">
        <v>116</v>
      </c>
      <c r="G8" s="19" t="s">
        <v>27</v>
      </c>
      <c r="H8" s="19" t="s">
        <v>19</v>
      </c>
      <c r="I8" s="69" t="s">
        <v>19</v>
      </c>
      <c r="J8" s="70"/>
      <c r="K8" s="19" t="s">
        <v>125</v>
      </c>
      <c r="L8" s="19" t="s">
        <v>125</v>
      </c>
    </row>
    <row r="9" spans="2:14" ht="15" thickBot="1" x14ac:dyDescent="0.35">
      <c r="B9" s="19">
        <v>12</v>
      </c>
      <c r="C9" s="74"/>
      <c r="D9" s="4" t="s">
        <v>112</v>
      </c>
      <c r="E9" s="2" t="s">
        <v>117</v>
      </c>
      <c r="F9" s="2" t="s">
        <v>118</v>
      </c>
      <c r="G9" s="19" t="s">
        <v>27</v>
      </c>
      <c r="H9" s="19" t="s">
        <v>19</v>
      </c>
      <c r="I9" s="69" t="s">
        <v>19</v>
      </c>
      <c r="J9" s="70"/>
      <c r="K9" s="19" t="s">
        <v>120</v>
      </c>
      <c r="L9" s="19" t="s">
        <v>120</v>
      </c>
    </row>
    <row r="10" spans="2:14" ht="15.6" thickTop="1" thickBot="1" x14ac:dyDescent="0.35">
      <c r="B10" s="2">
        <v>13</v>
      </c>
      <c r="C10" s="75"/>
      <c r="D10" s="4" t="s">
        <v>113</v>
      </c>
      <c r="E10" s="2" t="s">
        <v>123</v>
      </c>
      <c r="F10" s="2" t="s">
        <v>124</v>
      </c>
      <c r="G10" s="2" t="s">
        <v>27</v>
      </c>
      <c r="H10" s="2" t="s">
        <v>19</v>
      </c>
      <c r="I10" s="71" t="s">
        <v>19</v>
      </c>
      <c r="J10" s="72"/>
      <c r="K10" s="2" t="s">
        <v>121</v>
      </c>
      <c r="L10" s="2" t="s">
        <v>121</v>
      </c>
    </row>
    <row r="11" spans="2:14" ht="15" thickTop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" thickBot="1" x14ac:dyDescent="0.35">
      <c r="B12" s="3" t="s">
        <v>59</v>
      </c>
      <c r="K12" s="21"/>
    </row>
    <row r="13" spans="2:14" ht="15.6" thickTop="1" thickBot="1" x14ac:dyDescent="0.35">
      <c r="B13" s="41" t="s">
        <v>60</v>
      </c>
      <c r="C13" s="42"/>
      <c r="D13" s="42"/>
      <c r="E13" s="42"/>
      <c r="F13" s="82" t="s">
        <v>61</v>
      </c>
      <c r="G13" s="83"/>
      <c r="H13" s="41" t="s">
        <v>62</v>
      </c>
      <c r="I13" s="42"/>
      <c r="J13" s="42"/>
      <c r="K13" s="42"/>
      <c r="L13" s="43"/>
      <c r="M13" s="48" t="s">
        <v>63</v>
      </c>
      <c r="N13" s="49"/>
    </row>
    <row r="14" spans="2:14" ht="15" thickTop="1" x14ac:dyDescent="0.3">
      <c r="B14" s="47" t="s">
        <v>64</v>
      </c>
      <c r="C14" s="51" t="s">
        <v>65</v>
      </c>
      <c r="D14" s="51" t="s">
        <v>66</v>
      </c>
      <c r="E14" s="53" t="s">
        <v>67</v>
      </c>
      <c r="F14" s="55" t="s">
        <v>68</v>
      </c>
      <c r="G14" s="57" t="s">
        <v>69</v>
      </c>
      <c r="H14" s="59" t="s">
        <v>70</v>
      </c>
      <c r="I14" s="51" t="s">
        <v>64</v>
      </c>
      <c r="J14" s="51" t="s">
        <v>65</v>
      </c>
      <c r="K14" s="61" t="s">
        <v>71</v>
      </c>
      <c r="L14" s="44" t="s">
        <v>72</v>
      </c>
      <c r="M14" s="46" t="s">
        <v>73</v>
      </c>
      <c r="N14" s="58" t="s">
        <v>74</v>
      </c>
    </row>
    <row r="15" spans="2:14" ht="54.6" customHeight="1" x14ac:dyDescent="0.3">
      <c r="B15" s="50"/>
      <c r="C15" s="52"/>
      <c r="D15" s="52"/>
      <c r="E15" s="54"/>
      <c r="F15" s="56"/>
      <c r="G15" s="57"/>
      <c r="H15" s="60"/>
      <c r="I15" s="52"/>
      <c r="J15" s="52"/>
      <c r="K15" s="62"/>
      <c r="L15" s="45"/>
      <c r="M15" s="47"/>
      <c r="N15" s="55"/>
    </row>
    <row r="16" spans="2:14" x14ac:dyDescent="0.3">
      <c r="B16" s="24">
        <f>SUM(C16:D16)</f>
        <v>5</v>
      </c>
      <c r="C16" s="22">
        <v>5</v>
      </c>
      <c r="D16" s="22">
        <v>0</v>
      </c>
      <c r="E16" s="39">
        <v>0.86</v>
      </c>
      <c r="F16" s="23">
        <v>0</v>
      </c>
      <c r="G16" s="8" t="s">
        <v>75</v>
      </c>
      <c r="H16" s="7" t="s">
        <v>75</v>
      </c>
      <c r="I16" s="24">
        <v>5</v>
      </c>
      <c r="J16" s="22">
        <v>5</v>
      </c>
      <c r="K16" s="25">
        <v>0</v>
      </c>
      <c r="L16" s="40">
        <v>0.86</v>
      </c>
      <c r="M16" s="6" t="s">
        <v>75</v>
      </c>
      <c r="N16" s="26">
        <f>C16</f>
        <v>5</v>
      </c>
    </row>
  </sheetData>
  <mergeCells count="31">
    <mergeCell ref="F13:G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  <mergeCell ref="G14:G15"/>
    <mergeCell ref="N14:N15"/>
    <mergeCell ref="H14:H15"/>
    <mergeCell ref="I14:I15"/>
    <mergeCell ref="K14:K15"/>
    <mergeCell ref="J14:J15"/>
    <mergeCell ref="B13:E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94B7F00-F329-4E8F-A3EE-411E39CDE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2026-04-06T16:54:01Z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