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Phase Defects" sheetId="1" r:id="rId5"/>
    <sheet state="visible" name="Architect. Design Phase Defects" sheetId="2" r:id="rId6"/>
    <sheet state="visible" name="Coding Phase Defects" sheetId="3" r:id="rId7"/>
    <sheet state="visible" name="Tool-basedCodeAnalysis" sheetId="4" r:id="rId8"/>
  </sheets>
  <definedNames/>
  <calcPr/>
</workbook>
</file>

<file path=xl/sharedStrings.xml><?xml version="1.0" encoding="utf-8"?>
<sst xmlns="http://schemas.openxmlformats.org/spreadsheetml/2006/main" count="143" uniqueCount="90">
  <si>
    <t>do not print this form</t>
  </si>
  <si>
    <t>Echipa</t>
  </si>
  <si>
    <t>Review Form. Requirements Defects</t>
  </si>
  <si>
    <t>Numele si prenumele</t>
  </si>
  <si>
    <t>Grupa</t>
  </si>
  <si>
    <t>Student 1:</t>
  </si>
  <si>
    <t>Găvriluț Maria</t>
  </si>
  <si>
    <t>Document  Title:</t>
  </si>
  <si>
    <t>Requirements Document</t>
  </si>
  <si>
    <t>Student 2:</t>
  </si>
  <si>
    <t>Gal Daria</t>
  </si>
  <si>
    <t>Author Name:</t>
  </si>
  <si>
    <t>Firicescu George</t>
  </si>
  <si>
    <t>Student 3:</t>
  </si>
  <si>
    <t>Cărbune Ecaterina</t>
  </si>
  <si>
    <t>Reviewer Name:</t>
  </si>
  <si>
    <t xml:space="preserve">Review date: </t>
  </si>
  <si>
    <t>Crt. No.</t>
  </si>
  <si>
    <t>Checked Item</t>
  </si>
  <si>
    <t>Doc. page/line</t>
  </si>
  <si>
    <t>Comments/ improvements</t>
  </si>
  <si>
    <t>R01</t>
  </si>
  <si>
    <t>missing product price</t>
  </si>
  <si>
    <t>missing measurement unit</t>
  </si>
  <si>
    <t>how to manage if a product is deleted is the associated recipe deleted?</t>
  </si>
  <si>
    <t>R02</t>
  </si>
  <si>
    <t>missing data validation requirement</t>
  </si>
  <si>
    <t>R04</t>
  </si>
  <si>
    <t>no mention if the app starts with demo data or empty</t>
  </si>
  <si>
    <t>R05</t>
  </si>
  <si>
    <t>ambiguitate între tip si categorie</t>
  </si>
  <si>
    <t>daca nu mai avem in stoc ce se intampla</t>
  </si>
  <si>
    <t>Effort to review document (hours):</t>
  </si>
  <si>
    <t>Review Form. Architectural Design Defects</t>
  </si>
  <si>
    <t>Architectural Design Document</t>
  </si>
  <si>
    <t xml:space="preserve">Author Name: </t>
  </si>
  <si>
    <t>Georgescu Anca</t>
  </si>
  <si>
    <t>A06</t>
  </si>
  <si>
    <t>da, se respecta arhitectura stratificata si este urmat un pattern clar de repository</t>
  </si>
  <si>
    <t>A04</t>
  </si>
  <si>
    <t>clasele Service</t>
  </si>
  <si>
    <t>validatorii pt entitati erau implementati dar nu erau folositi, am modificat clasele astfel incat sa aiba loc validari inainte de a avea loc modificari</t>
  </si>
  <si>
    <t>A05</t>
  </si>
  <si>
    <t>clasa DrinkShopController</t>
  </si>
  <si>
    <t>ValidationException exista dar nu se utilizau blocuri try catch in controllerul aplicatiei pentru a fi capturate eventualele exceptii si a afisa mesaje coresp in ui</t>
  </si>
  <si>
    <t>Review Form. Coding Defects</t>
  </si>
  <si>
    <t>Coding Document</t>
  </si>
  <si>
    <t>C12</t>
  </si>
  <si>
    <t>Stoc.java linia 10</t>
  </si>
  <si>
    <t>Constructorul foloseste int dar tipurile sunt double. Am modificat cu tipurile corecte.</t>
  </si>
  <si>
    <t>C06</t>
  </si>
  <si>
    <t>DrinkShopController.java linia 143, 164 si 199</t>
  </si>
  <si>
    <t>Daca utilizatorul introduce text,aplicatia se va opri cu NumberFormatException. Am modificat adaugand un try catch pentru validare inainte de a folosi parse.</t>
  </si>
  <si>
    <t>C01</t>
  </si>
  <si>
    <t>DrinkShopController.java linia 125</t>
  </si>
  <si>
    <t>Se creeaza o lista noua doar pentru verificarea existentei unui elem ceea ce e ineficient. am modificat adaugand anyMatch in loc de filter.</t>
  </si>
  <si>
    <t>C09</t>
  </si>
  <si>
    <t>DrinkShopService.java linia 23 si 30</t>
  </si>
  <si>
    <t>Repository-ul pentru stoc e denumit stocService in loc de stocRepo ceea ce poate creea confuzie. Am redenumit in stocRepo</t>
  </si>
  <si>
    <t>C04</t>
  </si>
  <si>
    <t>ReceiptGenerator.java linia 15</t>
  </si>
  <si>
    <t>Nu exista format pentru zecimale, nu exista formatare standard pentru bani. Am folosit string format pentru format numeric.</t>
  </si>
  <si>
    <t>Tool-based Code Analysis</t>
  </si>
  <si>
    <t>Tool used:</t>
  </si>
  <si>
    <t>SonarQube</t>
  </si>
  <si>
    <t>File, Line</t>
  </si>
  <si>
    <t>Issue</t>
  </si>
  <si>
    <t>Before</t>
  </si>
  <si>
    <t>After/Argument</t>
  </si>
  <si>
    <t>DrinkShopService.java, linia 30</t>
  </si>
  <si>
    <t xml:space="preserve">sections of code should not be commented </t>
  </si>
  <si>
    <t xml:space="preserve">//  this.stocService = new StocService(stocService);
</t>
  </si>
  <si>
    <t>nu am modificat deoarece am vrut sa pastram linia de cod pentru comparare</t>
  </si>
  <si>
    <t>AbstractRepository.java, linia 20</t>
  </si>
  <si>
    <t>redundant casts should not be used</t>
  </si>
  <si>
    <t>return (List&lt;E&gt;)StreamSupport.stream(entities.values().spliterator(), false).toList();</t>
  </si>
  <si>
    <t>return StreamSupport.stream(entities.values().spliterator(), false).toList();</t>
  </si>
  <si>
    <t>CsvExporter.java, linia 32</t>
  </si>
  <si>
    <t>generic exceptions should never be thrown</t>
  </si>
  <si>
    <t>throw new RuntimeException(e);</t>
  </si>
  <si>
    <t>throw new UncheckedIOException("Eroare la export CSV", e);</t>
  </si>
  <si>
    <t>CsvExporter.java, linia 16</t>
  </si>
  <si>
    <t>utility classes should not have public constructors</t>
  </si>
  <si>
    <t>-</t>
  </si>
  <si>
    <t>private CsvExporter() {
        throw new UnsupportedOperationException("utility class cannot be instantiated");
    }</t>
  </si>
  <si>
    <t>CsvExporter.java, linia 25</t>
  </si>
  <si>
    <t>parentheses should be removed from a single lambda parameter when its type is inferred</t>
  </si>
  <si>
    <t xml:space="preserve">Product p = products.stream().filter((p1)-&gt;i.getProduct().getId()==p1.getId()).toList().get(0);
                    </t>
  </si>
  <si>
    <t xml:space="preserve">Product p = products.stream().filter(p1-&gt;i.getProduct().getId()==p1.getId()).toList().get(0);
                    </t>
  </si>
  <si>
    <t>Effort to perform tool-based code analysis (hours):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</si>
</sst>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rgb="FF000080"/>
      <name val="Calibri"/>
    </font>
    <font>
      <i/>
      <sz val="9.0"/>
      <color rgb="FFC00000"/>
      <name val="Calibri"/>
    </font>
    <font>
      <sz val="11.0"/>
      <color theme="1"/>
      <name val="Calibri"/>
    </font>
    <font/>
    <font>
      <b/>
      <sz val="11.0"/>
      <color theme="1"/>
      <name val="Calibri"/>
    </font>
    <font>
      <sz val="11.0"/>
      <color rgb="FF000000"/>
      <name val="Calibri"/>
    </font>
    <font>
      <b/>
      <i/>
      <sz val="11.0"/>
      <color theme="1"/>
      <name val="Calibri"/>
    </font>
    <font>
      <i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C6D9F0"/>
        <bgColor rgb="FFC6D9F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3" numFmtId="0" xfId="0" applyAlignment="1" applyBorder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/>
    </xf>
    <xf borderId="4" fillId="0" fontId="3" numFmtId="0" xfId="0" applyBorder="1" applyFont="1"/>
    <xf borderId="4" fillId="0" fontId="6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/>
    </xf>
    <xf borderId="4" fillId="2" fontId="5" numFmtId="0" xfId="0" applyBorder="1" applyFill="1" applyFont="1"/>
    <xf borderId="1" fillId="2" fontId="5" numFmtId="0" xfId="0" applyAlignment="1" applyBorder="1" applyFont="1">
      <alignment horizontal="right"/>
    </xf>
    <xf borderId="1" fillId="2" fontId="7" numFmtId="0" xfId="0" applyAlignment="1" applyBorder="1" applyFont="1">
      <alignment horizontal="right"/>
    </xf>
    <xf borderId="0" fillId="0" fontId="5" numFmtId="0" xfId="0" applyFont="1"/>
    <xf borderId="4" fillId="0" fontId="5" numFmtId="0" xfId="0" applyBorder="1" applyFont="1"/>
    <xf borderId="1" fillId="0" fontId="5" numFmtId="0" xfId="0" applyAlignment="1" applyBorder="1" applyFont="1">
      <alignment horizontal="right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readingOrder="0"/>
    </xf>
    <xf borderId="4" fillId="0" fontId="8" numFmtId="0" xfId="0" applyAlignment="1" applyBorder="1" applyFont="1">
      <alignment readingOrder="0" shrinkToFit="0" wrapText="1"/>
    </xf>
    <xf borderId="4" fillId="0" fontId="8" numFmtId="0" xfId="0" applyBorder="1" applyFont="1"/>
    <xf borderId="4" fillId="0" fontId="8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1" fillId="0" fontId="5" numFmtId="0" xfId="0" applyBorder="1" applyFont="1"/>
    <xf borderId="2" fillId="0" fontId="5" numFmtId="0" xfId="0" applyBorder="1" applyFont="1"/>
    <xf borderId="4" fillId="3" fontId="5" numFmtId="0" xfId="0" applyBorder="1" applyFill="1" applyFont="1"/>
    <xf borderId="1" fillId="3" fontId="5" numFmtId="0" xfId="0" applyAlignment="1" applyBorder="1" applyFont="1">
      <alignment horizontal="right"/>
    </xf>
    <xf borderId="1" fillId="3" fontId="7" numFmtId="0" xfId="0" applyAlignment="1" applyBorder="1" applyFont="1">
      <alignment horizontal="right"/>
    </xf>
    <xf borderId="4" fillId="4" fontId="5" numFmtId="0" xfId="0" applyBorder="1" applyFill="1" applyFont="1"/>
    <xf borderId="1" fillId="4" fontId="5" numFmtId="0" xfId="0" applyAlignment="1" applyBorder="1" applyFont="1">
      <alignment horizontal="right"/>
    </xf>
    <xf borderId="1" fillId="4" fontId="7" numFmtId="0" xfId="0" applyAlignment="1" applyBorder="1" applyFont="1">
      <alignment horizontal="right" readingOrder="0"/>
    </xf>
    <xf borderId="0" fillId="0" fontId="3" numFmtId="0" xfId="0" applyAlignment="1" applyFont="1">
      <alignment readingOrder="0"/>
    </xf>
    <xf borderId="1" fillId="4" fontId="5" numFmtId="0" xfId="0" applyAlignment="1" applyBorder="1" applyFont="1">
      <alignment horizontal="right" readingOrder="0"/>
    </xf>
    <xf borderId="5" fillId="0" fontId="5" numFmtId="0" xfId="0" applyAlignment="1" applyBorder="1" applyFont="1">
      <alignment horizontal="left"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4" width="16.29"/>
    <col customWidth="1" min="5" max="5" width="41.43"/>
    <col customWidth="1" min="6" max="8" width="8.86"/>
    <col customWidth="1" min="9" max="9" width="21.0"/>
    <col customWidth="1" min="10" max="10" width="14.43"/>
    <col customWidth="1" min="11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2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8" t="s">
        <v>5</v>
      </c>
      <c r="I3" s="9" t="s">
        <v>6</v>
      </c>
      <c r="J3" s="10">
        <v>233.0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11" t="s">
        <v>7</v>
      </c>
      <c r="D4" s="12" t="s">
        <v>8</v>
      </c>
      <c r="E4" s="6"/>
      <c r="F4" s="3"/>
      <c r="G4" s="3"/>
      <c r="H4" s="8" t="s">
        <v>9</v>
      </c>
      <c r="I4" s="9" t="s">
        <v>10</v>
      </c>
      <c r="J4" s="10">
        <v>233.0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11" t="s">
        <v>11</v>
      </c>
      <c r="D5" s="13" t="s">
        <v>12</v>
      </c>
      <c r="E5" s="6"/>
      <c r="F5" s="3"/>
      <c r="G5" s="3"/>
      <c r="H5" s="8" t="s">
        <v>13</v>
      </c>
      <c r="I5" s="9" t="s">
        <v>14</v>
      </c>
      <c r="J5" s="10">
        <v>232.0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4"/>
      <c r="C6" s="15" t="s">
        <v>15</v>
      </c>
      <c r="D6" s="16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15" t="s">
        <v>16</v>
      </c>
      <c r="D7" s="1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7" t="s">
        <v>17</v>
      </c>
      <c r="C9" s="17" t="s">
        <v>18</v>
      </c>
      <c r="D9" s="17" t="s">
        <v>19</v>
      </c>
      <c r="E9" s="18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8">
        <v>1.0</v>
      </c>
      <c r="C10" s="19" t="s">
        <v>21</v>
      </c>
      <c r="D10" s="19">
        <v>1.0</v>
      </c>
      <c r="E10" s="20" t="s">
        <v>22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8">
        <f t="shared" ref="B11:B25" si="1">B10+1</f>
        <v>2</v>
      </c>
      <c r="C11" s="19" t="s">
        <v>21</v>
      </c>
      <c r="D11" s="19">
        <v>1.0</v>
      </c>
      <c r="E11" s="20" t="s">
        <v>23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8">
        <f t="shared" si="1"/>
        <v>3</v>
      </c>
      <c r="C12" s="19" t="s">
        <v>21</v>
      </c>
      <c r="D12" s="19">
        <v>1.0</v>
      </c>
      <c r="E12" s="20" t="s">
        <v>24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8">
        <f t="shared" si="1"/>
        <v>4</v>
      </c>
      <c r="C13" s="19" t="s">
        <v>25</v>
      </c>
      <c r="D13" s="19">
        <v>1.0</v>
      </c>
      <c r="E13" s="20" t="s">
        <v>26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8">
        <f t="shared" si="1"/>
        <v>5</v>
      </c>
      <c r="C14" s="19" t="s">
        <v>27</v>
      </c>
      <c r="D14" s="19">
        <v>1.0</v>
      </c>
      <c r="E14" s="20" t="s">
        <v>28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8">
        <f t="shared" si="1"/>
        <v>6</v>
      </c>
      <c r="C15" s="19" t="s">
        <v>29</v>
      </c>
      <c r="D15" s="19">
        <v>1.0</v>
      </c>
      <c r="E15" s="20" t="s">
        <v>30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8">
        <f t="shared" si="1"/>
        <v>7</v>
      </c>
      <c r="C16" s="19"/>
      <c r="D16" s="19">
        <v>1.0</v>
      </c>
      <c r="E16" s="20" t="s">
        <v>31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8">
        <f t="shared" si="1"/>
        <v>8</v>
      </c>
      <c r="C17" s="21"/>
      <c r="D17" s="21"/>
      <c r="E17" s="2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8">
        <f t="shared" si="1"/>
        <v>9</v>
      </c>
      <c r="C18" s="8"/>
      <c r="D18" s="8"/>
      <c r="E18" s="2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8">
        <f t="shared" si="1"/>
        <v>10</v>
      </c>
      <c r="C19" s="8"/>
      <c r="D19" s="8"/>
      <c r="E19" s="2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8">
        <f t="shared" si="1"/>
        <v>11</v>
      </c>
      <c r="C20" s="8"/>
      <c r="D20" s="8"/>
      <c r="E20" s="2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8">
        <f t="shared" si="1"/>
        <v>12</v>
      </c>
      <c r="C21" s="8"/>
      <c r="D21" s="8"/>
      <c r="E21" s="2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8">
        <f t="shared" si="1"/>
        <v>13</v>
      </c>
      <c r="C22" s="8"/>
      <c r="D22" s="8"/>
      <c r="E22" s="2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8">
        <f t="shared" si="1"/>
        <v>14</v>
      </c>
      <c r="C23" s="8"/>
      <c r="D23" s="8"/>
      <c r="E23" s="2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8">
        <f t="shared" si="1"/>
        <v>15</v>
      </c>
      <c r="C24" s="8"/>
      <c r="D24" s="8"/>
      <c r="E24" s="2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8">
        <f t="shared" si="1"/>
        <v>16</v>
      </c>
      <c r="C25" s="8"/>
      <c r="D25" s="8"/>
      <c r="E25" s="2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24" t="s">
        <v>32</v>
      </c>
      <c r="D27" s="25"/>
      <c r="E27" s="21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D7:E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3" width="16.29"/>
    <col customWidth="1" min="4" max="4" width="23.29"/>
    <col customWidth="1" min="5" max="5" width="41.43"/>
    <col customWidth="1" min="6" max="8" width="8.86"/>
    <col customWidth="1" min="9" max="9" width="22.14"/>
    <col customWidth="1" min="10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33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8" t="s">
        <v>5</v>
      </c>
      <c r="I3" s="9" t="s">
        <v>6</v>
      </c>
      <c r="J3" s="10">
        <v>233.0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26" t="s">
        <v>7</v>
      </c>
      <c r="D4" s="27" t="s">
        <v>34</v>
      </c>
      <c r="E4" s="6"/>
      <c r="F4" s="3"/>
      <c r="G4" s="3"/>
      <c r="H4" s="8" t="s">
        <v>9</v>
      </c>
      <c r="I4" s="9" t="s">
        <v>10</v>
      </c>
      <c r="J4" s="10">
        <v>233.0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26" t="s">
        <v>35</v>
      </c>
      <c r="D5" s="28" t="s">
        <v>36</v>
      </c>
      <c r="E5" s="6"/>
      <c r="F5" s="3"/>
      <c r="G5" s="3"/>
      <c r="H5" s="8" t="s">
        <v>13</v>
      </c>
      <c r="I5" s="9" t="s">
        <v>14</v>
      </c>
      <c r="J5" s="10">
        <v>232.0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4"/>
      <c r="C6" s="15" t="s">
        <v>15</v>
      </c>
      <c r="D6" s="16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15" t="s">
        <v>16</v>
      </c>
      <c r="D7" s="1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7" t="s">
        <v>17</v>
      </c>
      <c r="C9" s="17" t="s">
        <v>18</v>
      </c>
      <c r="D9" s="17" t="s">
        <v>19</v>
      </c>
      <c r="E9" s="17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8">
        <v>1.0</v>
      </c>
      <c r="C10" s="19" t="s">
        <v>37</v>
      </c>
      <c r="D10" s="22"/>
      <c r="E10" s="20" t="s">
        <v>38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8">
        <f t="shared" ref="B11:B26" si="1">B10+1</f>
        <v>2</v>
      </c>
      <c r="C11" s="19" t="s">
        <v>39</v>
      </c>
      <c r="D11" s="20" t="s">
        <v>40</v>
      </c>
      <c r="E11" s="20" t="s">
        <v>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8">
        <f t="shared" si="1"/>
        <v>3</v>
      </c>
      <c r="C12" s="19" t="s">
        <v>42</v>
      </c>
      <c r="D12" s="19" t="s">
        <v>43</v>
      </c>
      <c r="E12" s="20" t="s">
        <v>44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8">
        <f t="shared" si="1"/>
        <v>4</v>
      </c>
      <c r="C13" s="21"/>
      <c r="D13" s="21"/>
      <c r="E13" s="2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8">
        <f t="shared" si="1"/>
        <v>5</v>
      </c>
      <c r="C14" s="21"/>
      <c r="D14" s="22"/>
      <c r="E14" s="2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8">
        <f t="shared" si="1"/>
        <v>6</v>
      </c>
      <c r="C15" s="21"/>
      <c r="D15" s="21"/>
      <c r="E15" s="2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8">
        <f t="shared" si="1"/>
        <v>7</v>
      </c>
      <c r="C16" s="21"/>
      <c r="D16" s="22"/>
      <c r="E16" s="2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8">
        <f t="shared" si="1"/>
        <v>8</v>
      </c>
      <c r="C17" s="21"/>
      <c r="D17" s="22"/>
      <c r="E17" s="2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8">
        <f t="shared" si="1"/>
        <v>9</v>
      </c>
      <c r="C18" s="21"/>
      <c r="D18" s="21"/>
      <c r="E18" s="2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8">
        <f t="shared" si="1"/>
        <v>10</v>
      </c>
      <c r="C19" s="21"/>
      <c r="D19" s="22"/>
      <c r="E19" s="2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8">
        <f t="shared" si="1"/>
        <v>11</v>
      </c>
      <c r="C20" s="21"/>
      <c r="D20" s="21"/>
      <c r="E20" s="2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8">
        <f t="shared" si="1"/>
        <v>12</v>
      </c>
      <c r="C21" s="21"/>
      <c r="D21" s="21"/>
      <c r="E21" s="2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8">
        <f t="shared" si="1"/>
        <v>13</v>
      </c>
      <c r="C22" s="21"/>
      <c r="D22" s="21"/>
      <c r="E22" s="2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8">
        <f t="shared" si="1"/>
        <v>14</v>
      </c>
      <c r="C23" s="21"/>
      <c r="D23" s="21"/>
      <c r="E23" s="2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8">
        <f t="shared" si="1"/>
        <v>15</v>
      </c>
      <c r="C24" s="21"/>
      <c r="D24" s="21"/>
      <c r="E24" s="2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8">
        <f t="shared" si="1"/>
        <v>16</v>
      </c>
      <c r="C25" s="21"/>
      <c r="D25" s="21"/>
      <c r="E25" s="2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8">
        <f t="shared" si="1"/>
        <v>17</v>
      </c>
      <c r="C26" s="21"/>
      <c r="D26" s="21"/>
      <c r="E26" s="2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24" t="s">
        <v>32</v>
      </c>
      <c r="D28" s="25"/>
      <c r="E28" s="19">
        <v>1.0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D7:E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3" width="16.29"/>
    <col customWidth="1" min="4" max="4" width="42.86"/>
    <col customWidth="1" min="5" max="5" width="41.43"/>
    <col customWidth="1" min="6" max="8" width="8.86"/>
    <col customWidth="1" min="9" max="9" width="26.71"/>
    <col customWidth="1" min="10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45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8" t="s">
        <v>5</v>
      </c>
      <c r="I3" s="9" t="s">
        <v>6</v>
      </c>
      <c r="J3" s="10">
        <v>233.0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29" t="s">
        <v>7</v>
      </c>
      <c r="D4" s="30" t="s">
        <v>46</v>
      </c>
      <c r="E4" s="6"/>
      <c r="F4" s="3"/>
      <c r="G4" s="3"/>
      <c r="H4" s="8" t="s">
        <v>9</v>
      </c>
      <c r="I4" s="9" t="s">
        <v>10</v>
      </c>
      <c r="J4" s="10">
        <v>233.0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29" t="s">
        <v>11</v>
      </c>
      <c r="D5" s="31" t="s">
        <v>10</v>
      </c>
      <c r="E5" s="6"/>
      <c r="F5" s="3"/>
      <c r="G5" s="3"/>
      <c r="H5" s="8" t="s">
        <v>13</v>
      </c>
      <c r="I5" s="9" t="s">
        <v>14</v>
      </c>
      <c r="J5" s="10">
        <v>232.0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4"/>
      <c r="C6" s="15" t="s">
        <v>15</v>
      </c>
      <c r="D6" s="16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15" t="s">
        <v>16</v>
      </c>
      <c r="D7" s="1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7" t="s">
        <v>17</v>
      </c>
      <c r="C9" s="17" t="s">
        <v>18</v>
      </c>
      <c r="D9" s="17" t="s">
        <v>19</v>
      </c>
      <c r="E9" s="17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8">
        <v>1.0</v>
      </c>
      <c r="C10" s="19" t="s">
        <v>47</v>
      </c>
      <c r="D10" s="20" t="s">
        <v>48</v>
      </c>
      <c r="E10" s="20" t="s">
        <v>49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8">
        <f t="shared" ref="B11:B30" si="1">B10+1</f>
        <v>2</v>
      </c>
      <c r="C11" s="19" t="s">
        <v>50</v>
      </c>
      <c r="D11" s="19" t="s">
        <v>51</v>
      </c>
      <c r="E11" s="20" t="s">
        <v>52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8">
        <f t="shared" si="1"/>
        <v>3</v>
      </c>
      <c r="C12" s="19" t="s">
        <v>53</v>
      </c>
      <c r="D12" s="19" t="s">
        <v>54</v>
      </c>
      <c r="E12" s="20" t="s">
        <v>55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8">
        <f t="shared" si="1"/>
        <v>4</v>
      </c>
      <c r="C13" s="19" t="s">
        <v>56</v>
      </c>
      <c r="D13" s="20" t="s">
        <v>57</v>
      </c>
      <c r="E13" s="20" t="s">
        <v>58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8">
        <f t="shared" si="1"/>
        <v>5</v>
      </c>
      <c r="C14" s="19" t="s">
        <v>59</v>
      </c>
      <c r="D14" s="19" t="s">
        <v>60</v>
      </c>
      <c r="E14" s="20" t="s">
        <v>61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8">
        <f t="shared" si="1"/>
        <v>6</v>
      </c>
      <c r="C15" s="21"/>
      <c r="D15" s="22"/>
      <c r="E15" s="2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8">
        <f t="shared" si="1"/>
        <v>7</v>
      </c>
      <c r="C16" s="21"/>
      <c r="D16" s="22"/>
      <c r="E16" s="2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8">
        <f t="shared" si="1"/>
        <v>8</v>
      </c>
      <c r="C17" s="21"/>
      <c r="D17" s="22"/>
      <c r="E17" s="2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8">
        <f t="shared" si="1"/>
        <v>9</v>
      </c>
      <c r="C18" s="21"/>
      <c r="D18" s="22"/>
      <c r="E18" s="2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8">
        <f t="shared" si="1"/>
        <v>10</v>
      </c>
      <c r="C19" s="21"/>
      <c r="D19" s="21"/>
      <c r="E19" s="2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8">
        <f t="shared" si="1"/>
        <v>11</v>
      </c>
      <c r="C20" s="21"/>
      <c r="D20" s="22"/>
      <c r="E20" s="2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8">
        <f t="shared" si="1"/>
        <v>12</v>
      </c>
      <c r="C21" s="21"/>
      <c r="D21" s="21"/>
      <c r="E21" s="2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8">
        <f t="shared" si="1"/>
        <v>13</v>
      </c>
      <c r="C22" s="21"/>
      <c r="D22" s="22"/>
      <c r="E22" s="2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8">
        <f t="shared" si="1"/>
        <v>14</v>
      </c>
      <c r="C23" s="21"/>
      <c r="D23" s="22"/>
      <c r="E23" s="2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8">
        <f t="shared" si="1"/>
        <v>15</v>
      </c>
      <c r="C24" s="21"/>
      <c r="D24" s="22"/>
      <c r="E24" s="2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8">
        <f t="shared" si="1"/>
        <v>16</v>
      </c>
      <c r="C25" s="21"/>
      <c r="D25" s="22"/>
      <c r="E25" s="2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8">
        <f t="shared" si="1"/>
        <v>17</v>
      </c>
      <c r="C26" s="21"/>
      <c r="D26" s="21"/>
      <c r="E26" s="2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8">
        <f t="shared" si="1"/>
        <v>18</v>
      </c>
      <c r="C27" s="21"/>
      <c r="D27" s="22"/>
      <c r="E27" s="21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8">
        <f t="shared" si="1"/>
        <v>19</v>
      </c>
      <c r="C28" s="21"/>
      <c r="D28" s="22"/>
      <c r="E28" s="2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8">
        <f t="shared" si="1"/>
        <v>20</v>
      </c>
      <c r="C29" s="21"/>
      <c r="D29" s="22"/>
      <c r="E29" s="2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8">
        <f t="shared" si="1"/>
        <v>21</v>
      </c>
      <c r="C30" s="21"/>
      <c r="D30" s="22"/>
      <c r="E30" s="2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24" t="s">
        <v>32</v>
      </c>
      <c r="D32" s="25"/>
      <c r="E32" s="21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D7:E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F1DD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3" width="35.86"/>
    <col customWidth="1" min="4" max="4" width="44.57"/>
    <col customWidth="1" min="5" max="5" width="52.0"/>
    <col customWidth="1" min="6" max="6" width="64.57"/>
    <col customWidth="1" min="7" max="8" width="8.86"/>
    <col customWidth="1" min="9" max="9" width="26.71"/>
    <col customWidth="1" min="10" max="26" width="8.86"/>
  </cols>
  <sheetData>
    <row r="1" ht="14.25" customHeight="1">
      <c r="A1" s="1"/>
      <c r="B1" s="2" t="s">
        <v>0</v>
      </c>
      <c r="C1" s="3"/>
      <c r="D1" s="3"/>
      <c r="E1" s="32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62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8" t="s">
        <v>5</v>
      </c>
      <c r="I3" s="9" t="s">
        <v>6</v>
      </c>
      <c r="J3" s="10">
        <v>233.0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29" t="s">
        <v>63</v>
      </c>
      <c r="D4" s="33" t="s">
        <v>64</v>
      </c>
      <c r="E4" s="6"/>
      <c r="F4" s="3"/>
      <c r="G4" s="3"/>
      <c r="H4" s="8" t="s">
        <v>9</v>
      </c>
      <c r="I4" s="9" t="s">
        <v>10</v>
      </c>
      <c r="J4" s="10">
        <v>233.0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15" t="s">
        <v>15</v>
      </c>
      <c r="D5" s="16"/>
      <c r="E5" s="6"/>
      <c r="F5" s="3"/>
      <c r="G5" s="3"/>
      <c r="H5" s="8" t="s">
        <v>13</v>
      </c>
      <c r="I5" s="9" t="s">
        <v>14</v>
      </c>
      <c r="J5" s="10">
        <v>232.0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4"/>
      <c r="C6" s="15" t="s">
        <v>16</v>
      </c>
      <c r="D6" s="16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"/>
      <c r="D7" s="3"/>
      <c r="E7" s="3"/>
      <c r="F7" s="3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7" t="s">
        <v>17</v>
      </c>
      <c r="C9" s="17" t="s">
        <v>65</v>
      </c>
      <c r="D9" s="17" t="s">
        <v>66</v>
      </c>
      <c r="E9" s="17" t="s">
        <v>67</v>
      </c>
      <c r="F9" s="17" t="s">
        <v>68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8">
        <v>1.0</v>
      </c>
      <c r="C10" s="19" t="s">
        <v>69</v>
      </c>
      <c r="D10" s="20" t="s">
        <v>70</v>
      </c>
      <c r="E10" s="20" t="s">
        <v>71</v>
      </c>
      <c r="F10" s="20" t="s">
        <v>72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8">
        <f t="shared" ref="B11:B30" si="1">B10+1</f>
        <v>2</v>
      </c>
      <c r="C11" s="19" t="s">
        <v>73</v>
      </c>
      <c r="D11" s="19" t="s">
        <v>74</v>
      </c>
      <c r="E11" s="20" t="s">
        <v>75</v>
      </c>
      <c r="F11" s="20" t="s">
        <v>76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8">
        <f t="shared" si="1"/>
        <v>3</v>
      </c>
      <c r="C12" s="19" t="s">
        <v>77</v>
      </c>
      <c r="D12" s="19" t="s">
        <v>78</v>
      </c>
      <c r="E12" s="20" t="s">
        <v>79</v>
      </c>
      <c r="F12" s="20" t="s">
        <v>80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8">
        <f t="shared" si="1"/>
        <v>4</v>
      </c>
      <c r="C13" s="19" t="s">
        <v>81</v>
      </c>
      <c r="D13" s="20" t="s">
        <v>82</v>
      </c>
      <c r="E13" s="20" t="s">
        <v>83</v>
      </c>
      <c r="F13" s="20" t="s">
        <v>84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8">
        <f t="shared" si="1"/>
        <v>5</v>
      </c>
      <c r="C14" s="19" t="s">
        <v>85</v>
      </c>
      <c r="D14" s="20" t="s">
        <v>86</v>
      </c>
      <c r="E14" s="20" t="s">
        <v>87</v>
      </c>
      <c r="F14" s="20" t="s">
        <v>88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8">
        <f t="shared" si="1"/>
        <v>6</v>
      </c>
      <c r="C15" s="21"/>
      <c r="D15" s="22"/>
      <c r="E15" s="22"/>
      <c r="F15" s="2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8">
        <f t="shared" si="1"/>
        <v>7</v>
      </c>
      <c r="C16" s="21"/>
      <c r="D16" s="22"/>
      <c r="E16" s="22"/>
      <c r="F16" s="2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8">
        <f t="shared" si="1"/>
        <v>8</v>
      </c>
      <c r="C17" s="21"/>
      <c r="D17" s="22"/>
      <c r="E17" s="22"/>
      <c r="F17" s="2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8">
        <f t="shared" si="1"/>
        <v>9</v>
      </c>
      <c r="C18" s="21"/>
      <c r="D18" s="22"/>
      <c r="E18" s="22"/>
      <c r="F18" s="2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8">
        <f t="shared" si="1"/>
        <v>10</v>
      </c>
      <c r="C19" s="21"/>
      <c r="D19" s="21"/>
      <c r="E19" s="22"/>
      <c r="F19" s="2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8">
        <f t="shared" si="1"/>
        <v>11</v>
      </c>
      <c r="C20" s="21"/>
      <c r="D20" s="22"/>
      <c r="E20" s="22"/>
      <c r="F20" s="2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8">
        <f t="shared" si="1"/>
        <v>12</v>
      </c>
      <c r="C21" s="21"/>
      <c r="D21" s="21"/>
      <c r="E21" s="22"/>
      <c r="F21" s="2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8">
        <f t="shared" si="1"/>
        <v>13</v>
      </c>
      <c r="C22" s="21"/>
      <c r="D22" s="22"/>
      <c r="E22" s="22"/>
      <c r="F22" s="2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8">
        <f t="shared" si="1"/>
        <v>14</v>
      </c>
      <c r="C23" s="21"/>
      <c r="D23" s="22"/>
      <c r="E23" s="22"/>
      <c r="F23" s="2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8">
        <f t="shared" si="1"/>
        <v>15</v>
      </c>
      <c r="C24" s="21"/>
      <c r="D24" s="22"/>
      <c r="E24" s="22"/>
      <c r="F24" s="2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8">
        <f t="shared" si="1"/>
        <v>16</v>
      </c>
      <c r="C25" s="21"/>
      <c r="D25" s="22"/>
      <c r="E25" s="22"/>
      <c r="F25" s="2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8">
        <f t="shared" si="1"/>
        <v>17</v>
      </c>
      <c r="C26" s="21"/>
      <c r="D26" s="21"/>
      <c r="E26" s="22"/>
      <c r="F26" s="2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8">
        <f t="shared" si="1"/>
        <v>18</v>
      </c>
      <c r="C27" s="21"/>
      <c r="D27" s="22"/>
      <c r="E27" s="21"/>
      <c r="F27" s="2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8">
        <f t="shared" si="1"/>
        <v>19</v>
      </c>
      <c r="C28" s="21"/>
      <c r="D28" s="22"/>
      <c r="E28" s="22"/>
      <c r="F28" s="2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8">
        <f t="shared" si="1"/>
        <v>20</v>
      </c>
      <c r="C29" s="21"/>
      <c r="D29" s="22"/>
      <c r="E29" s="22"/>
      <c r="F29" s="2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8">
        <f t="shared" si="1"/>
        <v>21</v>
      </c>
      <c r="C30" s="21"/>
      <c r="D30" s="22"/>
      <c r="E30" s="22"/>
      <c r="F30" s="2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4" t="s">
        <v>89</v>
      </c>
      <c r="F32" s="3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C32:E32"/>
  </mergeCells>
  <printOptions/>
  <pageMargins bottom="0.75" footer="0.0" header="0.0" left="0.7" right="0.7" top="0.75"/>
  <pageSetup paperSize="9" orientation="portrait"/>
  <drawing r:id="rId1"/>
</worksheet>
</file>